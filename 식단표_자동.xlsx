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희소\소망\"/>
    </mc:Choice>
  </mc:AlternateContent>
  <xr:revisionPtr revIDLastSave="0" documentId="13_ncr:1_{D19D4F81-A114-44CF-A0C4-EB186A30F4BB}" xr6:coauthVersionLast="36" xr6:coauthVersionMax="47" xr10:uidLastSave="{00000000-0000-0000-0000-000000000000}"/>
  <bookViews>
    <workbookView xWindow="0" yWindow="0" windowWidth="23040" windowHeight="8508" xr2:uid="{8748B407-FE2E-4428-8951-B18B592E41C7}"/>
  </bookViews>
  <sheets>
    <sheet name="식단표" sheetId="4" r:id="rId1"/>
    <sheet name="설정" sheetId="5" r:id="rId5"/>
  </sheets>
  <definedNames>
    <definedName name="_xlnm.Print_Area" localSheetId="0">식단표!$A$3:$G$25</definedName>
    <definedName name="시작일">설정!$C$3</definedName>
    <definedName name="제외목록">설정!$B$10:$B$59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<sst xmlns="http://schemas.openxmlformats.org/spreadsheetml/2006/main" count="37" uniqueCount="10">
  <si>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</si>
  <si>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</si>
  <si>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</si>
  <si>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</si>
  <si>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</si>
  <si>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</si>
  <si>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조식</t>
    <phoneticPr fontId="1" type="noConversion"/>
  </si>
  <si>
    <t>중식</t>
    <phoneticPr fontId="1" type="noConversion"/>
  </si>
  <si>
    <t>석식</t>
    <phoneticPr fontId="1" type="noConversion"/>
  </si>
  <si>
    <t>식단표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</si>
</sst>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월&quot;\ d&quot;일&quot;;@"/>
    <numFmt numFmtId="177" formatCode="yyyy&quot;-&quot;mm&quot;-&quot;dd&quot; (&quot;aaa&quot;)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CC80"/>
        <bgColor indexed="64"/>
      </patternFill>
    </fill>
    <fill>
      <patternFill patternType="solid">
        <fgColor rgb="FFFFF59D"/>
        <bgColor indexed="64"/>
      </patternFill>
    </fill>
    <fill>
      <patternFill patternType="solid">
        <fgColor rgb="FFDDEBF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3" fillId="5" borderId="1" applyNumberFormat="1" xfId="0" applyFont="1" applyBorder="1" applyFill="1" applyAlignment="1">
      <alignment horizontal="center" vertical="center"/>
    </xf>
    <xf numFmtId="0" fontId="3" fillId="0" borderId="0" xfId="0" applyFont="1">
      <alignment vertical="center"/>
    </xf>
    <xf numFmtId="0" fontId="2" fillId="2" borderId="1" xfId="0" applyFont="1" applyBorder="1" applyFill="1" applyAlignment="1">
      <alignment horizontal="center" vertical="center"/>
    </xf>
    <xf numFmtId="0" fontId="2" fillId="3" borderId="1" xfId="0" applyFont="1" applyBorder="1" applyFill="1" applyAlignment="1">
      <alignment horizontal="center" vertical="center"/>
    </xf>
    <xf numFmtId="0" fontId="2" fillId="4" borderId="1" xfId="0" applyFont="1" applyBorder="1" applyFill="1" applyAlignment="1">
      <alignment horizontal="center" vertical="center"/>
    </xf>
    <xf numFmtId="0" fontId="2" fillId="0" borderId="1" xfId="0" applyFont="1" applyBorder="1" applyFill="1" applyAlignment="1">
      <alignment horizontal="center" vertical="center"/>
    </xf>
  </cellXfs>
  <cellStyles count="1">
    <cellStyle name="표준" xfId="0" builtinId="0"/>
  </cellStyles>
  <dxfs count="4">
    <dxf>
      <font>
        <b/>
      </font>
      <fill>
        <patternFill>
          <bgColor rgb="FFFF9999"/>
        </patternFill>
      </fill>
    </dxf>
    <dxf>
      <font>
        <b/>
      </font>
      <fill>
        <patternFill>
          <bgColor rgb="FFFFCC80"/>
        </patternFill>
      </fill>
    </dxf>
    <dxf>
      <font>
        <b/>
      </font>
      <fill>
        <patternFill>
          <bgColor rgb="FFFFF59D"/>
        </patternFill>
      </fill>
    </dxf>
    <dxf>
      <font>
        <color rgb="FFB0B0B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0403-AFCF-432B-B0F4-5F5D9F036BFC}">
  <sheetPr>
    <pageSetUpPr fitToPage="1"/>
  </sheetPr>
  <dimension ref="A1:G141"/>
  <sheetViews>
    <sheetView tabSelected="1" zoomScale="55" zoomScaleNormal="55" workbookViewId="0">
      <selection activeCell="B49" sqref="B49:G49"/>
    </sheetView>
  </sheetViews>
  <sheetFormatPr defaultRowHeight="17.399999999999999" x14ac:dyDescent="0.4"/>
  <cols>
    <col min="1" max="1" width="5.69921875" customWidth="1"/>
    <col min="2" max="7" width="35.69921875" customWidth="1"/>
  </cols>
  <sheetData>
    <row r="1" spans="1:7" s="13" customFormat="1" ht="40.200000000000003" customHeight="1" x14ac:dyDescent="0.4">
      <c r="A1" s="31" t="str">
        <f>TEXT(시작일,"yyyy""년"" m""월""")&amp;" 식단표"</f>
        <v>2026년 10월 식단표</v>
      </c>
      <c r="B1" s="31"/>
      <c r="C1" s="31"/>
      <c r="D1" s="31"/>
      <c r="E1" s="31"/>
      <c r="F1" s="31"/>
      <c r="G1" s="31"/>
    </row>
    <row r="2" spans="1:7" ht="4.95" customHeight="1" thickBot="1" x14ac:dyDescent="0.45">
      <c r="A2" s="1"/>
      <c r="B2" s="1"/>
      <c r="C2" s="1"/>
      <c r="D2" s="1"/>
      <c r="E2" s="1"/>
      <c r="F2" s="1"/>
      <c r="G2" s="1"/>
    </row>
    <row r="3" spans="1:7" s="4" customFormat="1" ht="34.950000000000003" customHeight="1" thickBot="1" x14ac:dyDescent="0.45">
      <c r="A3" s="28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</row>
    <row r="4" spans="1:7" s="4" customFormat="1" ht="34.950000000000003" customHeight="1" thickBot="1" x14ac:dyDescent="0.45">
      <c r="A4" s="29"/>
      <c r="B4" s="6">
        <f>시작일-WEEKDAY(시작일,3)+IF(WEEKDAY(시작일)=1,7,0)</f>
        <v>46293</v>
      </c>
      <c r="C4" s="6">
        <f>$B$4+1</f>
        <v>46294</v>
      </c>
      <c r="D4" s="6">
        <f>$B$4+2</f>
        <v>46295</v>
      </c>
      <c r="E4" s="6">
        <f>$B$4+3</f>
        <v>46296</v>
      </c>
      <c r="F4" s="6">
        <f>$B$4+4</f>
        <v>46297</v>
      </c>
      <c r="G4" s="7">
        <f>$B$4+5</f>
        <v>46298</v>
      </c>
    </row>
    <row r="5" spans="1:7" s="4" customFormat="1" ht="34.950000000000003" customHeight="1" x14ac:dyDescent="0.4">
      <c r="A5" s="28" t="s">
        <v>6</v>
      </c>
      <c r="B5" s="8"/>
      <c r="C5" s="8"/>
      <c r="D5" s="8"/>
      <c r="E5" s="8"/>
      <c r="F5" s="8"/>
      <c r="G5" s="9"/>
    </row>
    <row r="6" spans="1:7" s="4" customFormat="1" ht="34.950000000000003" customHeight="1" x14ac:dyDescent="0.4">
      <c r="A6" s="30"/>
      <c r="B6" s="10"/>
      <c r="C6" s="10"/>
      <c r="D6" s="10"/>
      <c r="E6" s="10"/>
      <c r="F6" s="10"/>
      <c r="G6" s="11"/>
    </row>
    <row r="7" spans="1:7" s="4" customFormat="1" ht="34.950000000000003" customHeight="1" x14ac:dyDescent="0.4">
      <c r="A7" s="30"/>
      <c r="B7" s="10"/>
      <c r="C7" s="10"/>
      <c r="D7" s="10"/>
      <c r="E7" s="10"/>
      <c r="F7" s="10"/>
      <c r="G7" s="11"/>
    </row>
    <row r="8" spans="1:7" s="4" customFormat="1" ht="34.950000000000003" customHeight="1" x14ac:dyDescent="0.4">
      <c r="A8" s="30"/>
      <c r="B8" s="10"/>
      <c r="C8" s="10"/>
      <c r="D8" s="10"/>
      <c r="E8" s="10"/>
      <c r="F8" s="10"/>
      <c r="G8" s="11"/>
    </row>
    <row r="9" spans="1:7" s="4" customFormat="1" ht="34.950000000000003" customHeight="1" x14ac:dyDescent="0.4">
      <c r="A9" s="30"/>
      <c r="B9" s="10"/>
      <c r="C9" s="10"/>
      <c r="D9" s="10"/>
      <c r="E9" s="10"/>
      <c r="F9" s="10"/>
      <c r="G9" s="11"/>
    </row>
    <row r="10" spans="1:7" s="4" customFormat="1" ht="34.950000000000003" customHeight="1" x14ac:dyDescent="0.4">
      <c r="A10" s="30"/>
      <c r="B10" s="10"/>
      <c r="C10" s="10"/>
      <c r="D10" s="10"/>
      <c r="E10" s="10"/>
      <c r="F10" s="10"/>
      <c r="G10" s="10"/>
    </row>
    <row r="11" spans="1:7" s="4" customFormat="1" ht="34.950000000000003" customHeight="1" thickBot="1" x14ac:dyDescent="0.45">
      <c r="A11" s="29"/>
      <c r="B11" s="5"/>
      <c r="C11" s="5"/>
      <c r="D11" s="5"/>
      <c r="E11" s="5"/>
      <c r="F11" s="5"/>
      <c r="G11" s="12"/>
    </row>
    <row r="12" spans="1:7" s="4" customFormat="1" ht="34.950000000000003" customHeight="1" x14ac:dyDescent="0.4">
      <c r="A12" s="28" t="s">
        <v>7</v>
      </c>
      <c r="B12" s="8"/>
      <c r="C12" s="8"/>
      <c r="D12" s="8"/>
      <c r="E12" s="8"/>
      <c r="F12" s="8"/>
      <c r="G12" s="9"/>
    </row>
    <row r="13" spans="1:7" s="4" customFormat="1" ht="34.950000000000003" customHeight="1" x14ac:dyDescent="0.4">
      <c r="A13" s="30"/>
      <c r="B13" s="10"/>
      <c r="C13" s="10"/>
      <c r="D13" s="10"/>
      <c r="E13" s="10"/>
      <c r="F13" s="10"/>
      <c r="G13" s="11"/>
    </row>
    <row r="14" spans="1:7" s="4" customFormat="1" ht="34.950000000000003" customHeight="1" x14ac:dyDescent="0.4">
      <c r="A14" s="30"/>
      <c r="B14" s="10"/>
      <c r="C14" s="10"/>
      <c r="D14" s="10"/>
      <c r="E14" s="10"/>
      <c r="F14" s="10"/>
      <c r="G14" s="11"/>
    </row>
    <row r="15" spans="1:7" s="4" customFormat="1" ht="34.950000000000003" customHeight="1" x14ac:dyDescent="0.4">
      <c r="A15" s="30"/>
      <c r="B15" s="10"/>
      <c r="C15" s="10"/>
      <c r="D15" s="10"/>
      <c r="E15" s="10"/>
      <c r="F15" s="10"/>
      <c r="G15" s="11"/>
    </row>
    <row r="16" spans="1:7" s="4" customFormat="1" ht="34.950000000000003" customHeight="1" x14ac:dyDescent="0.4">
      <c r="A16" s="30"/>
      <c r="B16" s="10"/>
      <c r="C16" s="10"/>
      <c r="D16" s="10"/>
      <c r="E16" s="10"/>
      <c r="F16" s="10"/>
      <c r="G16" s="11"/>
    </row>
    <row r="17" spans="1:7" s="4" customFormat="1" ht="34.950000000000003" customHeight="1" x14ac:dyDescent="0.4">
      <c r="A17" s="30"/>
      <c r="B17" s="10"/>
      <c r="C17" s="10"/>
      <c r="D17" s="10"/>
      <c r="E17" s="10"/>
      <c r="F17" s="10"/>
      <c r="G17" s="11"/>
    </row>
    <row r="18" spans="1:7" s="4" customFormat="1" ht="34.950000000000003" customHeight="1" thickBot="1" x14ac:dyDescent="0.45">
      <c r="A18" s="29"/>
      <c r="B18" s="5"/>
      <c r="C18" s="5"/>
      <c r="D18" s="5"/>
      <c r="E18" s="5"/>
      <c r="F18" s="5"/>
      <c r="G18" s="12"/>
    </row>
    <row r="19" spans="1:7" s="4" customFormat="1" ht="34.950000000000003" customHeight="1" x14ac:dyDescent="0.4">
      <c r="A19" s="28" t="s">
        <v>8</v>
      </c>
      <c r="B19" s="8"/>
      <c r="C19" s="8"/>
      <c r="D19" s="8"/>
      <c r="E19" s="8"/>
      <c r="F19" s="8"/>
      <c r="G19" s="9"/>
    </row>
    <row r="20" spans="1:7" s="4" customFormat="1" ht="34.950000000000003" customHeight="1" x14ac:dyDescent="0.4">
      <c r="A20" s="30"/>
      <c r="B20" s="10"/>
      <c r="C20" s="10"/>
      <c r="D20" s="10"/>
      <c r="E20" s="10"/>
      <c r="F20" s="10"/>
      <c r="G20" s="11"/>
    </row>
    <row r="21" spans="1:7" s="4" customFormat="1" ht="34.950000000000003" customHeight="1" x14ac:dyDescent="0.4">
      <c r="A21" s="30"/>
      <c r="B21" s="10"/>
      <c r="C21" s="10"/>
      <c r="D21" s="10"/>
      <c r="E21" s="10"/>
      <c r="F21" s="10"/>
      <c r="G21" s="11"/>
    </row>
    <row r="22" spans="1:7" s="4" customFormat="1" ht="34.950000000000003" customHeight="1" x14ac:dyDescent="0.4">
      <c r="A22" s="30"/>
      <c r="B22" s="10"/>
      <c r="C22" s="10"/>
      <c r="D22" s="10"/>
      <c r="E22" s="10"/>
      <c r="F22" s="10"/>
      <c r="G22" s="11"/>
    </row>
    <row r="23" spans="1:7" s="4" customFormat="1" ht="34.950000000000003" customHeight="1" x14ac:dyDescent="0.4">
      <c r="A23" s="30"/>
      <c r="B23" s="10"/>
      <c r="C23" s="10"/>
      <c r="D23" s="10"/>
      <c r="E23" s="10"/>
      <c r="F23" s="10"/>
      <c r="G23" s="11"/>
    </row>
    <row r="24" spans="1:7" s="4" customFormat="1" ht="34.950000000000003" customHeight="1" x14ac:dyDescent="0.4">
      <c r="A24" s="30"/>
      <c r="B24" s="10"/>
      <c r="C24" s="10"/>
      <c r="D24" s="10"/>
      <c r="E24" s="10"/>
      <c r="F24" s="10"/>
      <c r="G24" s="11"/>
    </row>
    <row r="25" spans="1:7" s="4" customFormat="1" ht="34.950000000000003" customHeight="1" thickBot="1" x14ac:dyDescent="0.45">
      <c r="A25" s="29"/>
      <c r="B25" s="5"/>
      <c r="C25" s="5"/>
      <c r="D25" s="5"/>
      <c r="E25" s="5"/>
      <c r="F25" s="5"/>
      <c r="G25" s="12"/>
    </row>
    <row r="26" spans="1:7" s="4" customFormat="1" ht="34.950000000000003" customHeight="1" thickBot="1" x14ac:dyDescent="0.45">
      <c r="A26" s="28"/>
      <c r="B26" s="2" t="s">
        <v>0</v>
      </c>
      <c r="C26" s="2" t="s">
        <v>1</v>
      </c>
      <c r="D26" s="2" t="s">
        <v>2</v>
      </c>
      <c r="E26" s="2" t="s">
        <v>3</v>
      </c>
      <c r="F26" s="2" t="s">
        <v>4</v>
      </c>
      <c r="G26" s="3" t="s">
        <v>5</v>
      </c>
    </row>
    <row r="27" spans="1:7" s="4" customFormat="1" ht="34.950000000000003" customHeight="1" thickBot="1" x14ac:dyDescent="0.45">
      <c r="A27" s="29"/>
      <c r="B27" s="6">
        <f>$B$4+7</f>
        <v>46300</v>
      </c>
      <c r="C27" s="6">
        <f>$B$4+8</f>
        <v>46301</v>
      </c>
      <c r="D27" s="6">
        <f>$B$4+9</f>
        <v>46302</v>
      </c>
      <c r="E27" s="6">
        <f>$B$4+10</f>
        <v>46303</v>
      </c>
      <c r="F27" s="6">
        <f>$B$4+11</f>
        <v>46304</v>
      </c>
      <c r="G27" s="7">
        <f>$B$4+12</f>
        <v>46305</v>
      </c>
    </row>
    <row r="28" spans="1:7" s="4" customFormat="1" ht="34.950000000000003" customHeight="1" x14ac:dyDescent="0.4">
      <c r="A28" s="28" t="s">
        <v>6</v>
      </c>
      <c r="B28" s="20"/>
      <c r="C28" s="14"/>
      <c r="D28" s="14"/>
      <c r="E28" s="14"/>
      <c r="F28" s="14"/>
      <c r="G28" s="9"/>
    </row>
    <row r="29" spans="1:7" s="4" customFormat="1" ht="34.950000000000003" customHeight="1" x14ac:dyDescent="0.4">
      <c r="A29" s="30"/>
      <c r="B29" s="21"/>
      <c r="C29" s="16"/>
      <c r="D29" s="16"/>
      <c r="E29" s="21"/>
      <c r="F29" s="16"/>
      <c r="G29" s="11"/>
    </row>
    <row r="30" spans="1:7" s="4" customFormat="1" ht="34.950000000000003" customHeight="1" x14ac:dyDescent="0.4">
      <c r="A30" s="30"/>
      <c r="B30" s="21"/>
      <c r="C30" s="16"/>
      <c r="D30" s="16"/>
      <c r="E30" s="16"/>
      <c r="F30" s="16"/>
      <c r="G30" s="11"/>
    </row>
    <row r="31" spans="1:7" s="4" customFormat="1" ht="34.950000000000003" customHeight="1" x14ac:dyDescent="0.4">
      <c r="A31" s="30"/>
      <c r="B31" s="16"/>
      <c r="C31" s="16"/>
      <c r="D31" s="16"/>
      <c r="E31" s="16"/>
      <c r="F31" s="19"/>
      <c r="G31" s="11"/>
    </row>
    <row r="32" spans="1:7" s="4" customFormat="1" ht="34.950000000000003" customHeight="1" x14ac:dyDescent="0.4">
      <c r="A32" s="30"/>
      <c r="B32" s="16"/>
      <c r="C32" s="16"/>
      <c r="D32" s="16"/>
      <c r="E32" s="16"/>
      <c r="F32" s="16"/>
      <c r="G32" s="11"/>
    </row>
    <row r="33" spans="1:7" s="4" customFormat="1" ht="34.950000000000003" customHeight="1" x14ac:dyDescent="0.4">
      <c r="A33" s="30"/>
      <c r="B33" s="19"/>
      <c r="C33" s="19"/>
      <c r="D33" s="19"/>
      <c r="E33" s="19"/>
      <c r="F33" s="19"/>
      <c r="G33" s="16"/>
    </row>
    <row r="34" spans="1:7" s="4" customFormat="1" ht="34.950000000000003" customHeight="1" thickBot="1" x14ac:dyDescent="0.45">
      <c r="A34" s="29"/>
      <c r="B34" s="15"/>
      <c r="C34" s="15"/>
      <c r="D34" s="15"/>
      <c r="E34" s="15"/>
      <c r="F34" s="15"/>
      <c r="G34" s="12"/>
    </row>
    <row r="35" spans="1:7" s="4" customFormat="1" ht="34.950000000000003" customHeight="1" x14ac:dyDescent="0.4">
      <c r="A35" s="28" t="s">
        <v>7</v>
      </c>
      <c r="B35" s="14"/>
      <c r="C35" s="14"/>
      <c r="D35" s="14"/>
      <c r="E35" s="14"/>
      <c r="F35" s="17"/>
      <c r="G35" s="9"/>
    </row>
    <row r="36" spans="1:7" s="4" customFormat="1" ht="34.950000000000003" customHeight="1" x14ac:dyDescent="0.4">
      <c r="A36" s="30"/>
      <c r="B36" s="16"/>
      <c r="C36" s="16"/>
      <c r="D36" s="16"/>
      <c r="E36" s="16"/>
      <c r="F36" s="19"/>
      <c r="G36" s="11"/>
    </row>
    <row r="37" spans="1:7" s="4" customFormat="1" ht="34.950000000000003" customHeight="1" x14ac:dyDescent="0.4">
      <c r="A37" s="30"/>
      <c r="B37" s="16"/>
      <c r="C37" s="16"/>
      <c r="D37" s="16"/>
      <c r="E37" s="16"/>
      <c r="F37" s="19"/>
      <c r="G37" s="21"/>
    </row>
    <row r="38" spans="1:7" s="4" customFormat="1" ht="34.950000000000003" customHeight="1" x14ac:dyDescent="0.4">
      <c r="A38" s="30"/>
      <c r="B38" s="16"/>
      <c r="C38" s="16"/>
      <c r="D38" s="16"/>
      <c r="E38" s="16"/>
      <c r="F38" s="19"/>
      <c r="G38" s="11"/>
    </row>
    <row r="39" spans="1:7" s="4" customFormat="1" ht="34.950000000000003" customHeight="1" x14ac:dyDescent="0.4">
      <c r="A39" s="30"/>
      <c r="B39" s="16"/>
      <c r="C39" s="16"/>
      <c r="D39" s="16"/>
      <c r="E39" s="16"/>
      <c r="F39" s="19"/>
      <c r="G39" s="11"/>
    </row>
    <row r="40" spans="1:7" s="4" customFormat="1" ht="34.950000000000003" customHeight="1" x14ac:dyDescent="0.4">
      <c r="A40" s="30"/>
      <c r="B40" s="16"/>
      <c r="C40" s="16"/>
      <c r="D40" s="16"/>
      <c r="E40" s="16"/>
      <c r="F40" s="19"/>
      <c r="G40" s="11"/>
    </row>
    <row r="41" spans="1:7" s="4" customFormat="1" ht="34.950000000000003" customHeight="1" thickBot="1" x14ac:dyDescent="0.45">
      <c r="A41" s="29"/>
      <c r="B41" s="15"/>
      <c r="C41" s="15"/>
      <c r="D41" s="15"/>
      <c r="E41" s="15"/>
      <c r="F41" s="15"/>
      <c r="G41" s="12"/>
    </row>
    <row r="42" spans="1:7" s="4" customFormat="1" ht="34.950000000000003" customHeight="1" x14ac:dyDescent="0.4">
      <c r="A42" s="28" t="s">
        <v>8</v>
      </c>
      <c r="B42" s="14"/>
      <c r="C42" s="14"/>
      <c r="D42" s="17"/>
      <c r="E42" s="14"/>
      <c r="F42" s="17"/>
      <c r="G42" s="9"/>
    </row>
    <row r="43" spans="1:7" s="4" customFormat="1" ht="34.950000000000003" customHeight="1" x14ac:dyDescent="0.4">
      <c r="A43" s="30"/>
      <c r="B43" s="16"/>
      <c r="C43" s="16"/>
      <c r="D43" s="19"/>
      <c r="E43" s="16"/>
      <c r="F43" s="19"/>
      <c r="G43" s="11"/>
    </row>
    <row r="44" spans="1:7" s="4" customFormat="1" ht="34.950000000000003" customHeight="1" x14ac:dyDescent="0.4">
      <c r="A44" s="30"/>
      <c r="B44" s="21"/>
      <c r="C44" s="21"/>
      <c r="D44" s="19"/>
      <c r="E44" s="21"/>
      <c r="F44" s="19"/>
      <c r="G44" s="11"/>
    </row>
    <row r="45" spans="1:7" s="4" customFormat="1" ht="34.950000000000003" customHeight="1" x14ac:dyDescent="0.4">
      <c r="A45" s="30"/>
      <c r="B45" s="16"/>
      <c r="C45" s="16"/>
      <c r="D45" s="19"/>
      <c r="E45" s="16"/>
      <c r="F45" s="19"/>
      <c r="G45" s="11"/>
    </row>
    <row r="46" spans="1:7" s="4" customFormat="1" ht="34.950000000000003" customHeight="1" x14ac:dyDescent="0.4">
      <c r="A46" s="30"/>
      <c r="B46" s="16"/>
      <c r="C46" s="16"/>
      <c r="D46" s="19"/>
      <c r="E46" s="16"/>
      <c r="F46" s="19"/>
      <c r="G46" s="11"/>
    </row>
    <row r="47" spans="1:7" s="4" customFormat="1" ht="34.950000000000003" customHeight="1" x14ac:dyDescent="0.4">
      <c r="A47" s="30"/>
      <c r="B47" s="16"/>
      <c r="C47" s="16"/>
      <c r="D47" s="19"/>
      <c r="E47" s="16"/>
      <c r="F47" s="19"/>
      <c r="G47" s="11"/>
    </row>
    <row r="48" spans="1:7" s="4" customFormat="1" ht="34.950000000000003" customHeight="1" thickBot="1" x14ac:dyDescent="0.45">
      <c r="A48" s="29"/>
      <c r="B48" s="15"/>
      <c r="C48" s="15"/>
      <c r="D48" s="18"/>
      <c r="E48" s="15"/>
      <c r="F48" s="18"/>
      <c r="G48" s="12"/>
    </row>
    <row r="49" spans="1:7" s="4" customFormat="1" ht="34.950000000000003" customHeight="1" thickBot="1" x14ac:dyDescent="0.45">
      <c r="A49" s="28"/>
      <c r="B49" s="2" t="s">
        <v>0</v>
      </c>
      <c r="C49" s="2" t="s">
        <v>1</v>
      </c>
      <c r="D49" s="2" t="s">
        <v>2</v>
      </c>
      <c r="E49" s="2" t="s">
        <v>3</v>
      </c>
      <c r="F49" s="2" t="s">
        <v>4</v>
      </c>
      <c r="G49" s="3" t="s">
        <v>5</v>
      </c>
    </row>
    <row r="50" spans="1:7" s="4" customFormat="1" ht="34.950000000000003" customHeight="1" thickBot="1" x14ac:dyDescent="0.45">
      <c r="A50" s="29"/>
      <c r="B50" s="6">
        <f>$B$4+14</f>
        <v>46307</v>
      </c>
      <c r="C50" s="6">
        <f>$B$4+15</f>
        <v>46308</v>
      </c>
      <c r="D50" s="6">
        <f>$B$4+16</f>
        <v>46309</v>
      </c>
      <c r="E50" s="6">
        <f>$B$4+17</f>
        <v>46310</v>
      </c>
      <c r="F50" s="6">
        <f>$B$4+18</f>
        <v>46311</v>
      </c>
      <c r="G50" s="7">
        <f>$B$4+19</f>
        <v>46312</v>
      </c>
    </row>
    <row r="51" spans="1:7" s="4" customFormat="1" ht="34.950000000000003" customHeight="1" x14ac:dyDescent="0.4">
      <c r="A51" s="28" t="s">
        <v>6</v>
      </c>
      <c r="B51" s="22"/>
      <c r="C51" s="22"/>
      <c r="D51" s="22"/>
      <c r="E51" s="22"/>
      <c r="F51" s="22"/>
      <c r="G51" s="9"/>
    </row>
    <row r="52" spans="1:7" s="4" customFormat="1" ht="34.950000000000003" customHeight="1" x14ac:dyDescent="0.4">
      <c r="A52" s="30"/>
      <c r="B52" s="24"/>
      <c r="C52" s="24"/>
      <c r="D52" s="24"/>
      <c r="E52" s="24"/>
      <c r="F52" s="24"/>
      <c r="G52" s="11"/>
    </row>
    <row r="53" spans="1:7" s="4" customFormat="1" ht="34.950000000000003" customHeight="1" x14ac:dyDescent="0.4">
      <c r="A53" s="30"/>
      <c r="B53" s="24"/>
      <c r="C53" s="24"/>
      <c r="D53" s="24"/>
      <c r="E53" s="24"/>
      <c r="F53" s="24"/>
      <c r="G53" s="11"/>
    </row>
    <row r="54" spans="1:7" s="4" customFormat="1" ht="34.950000000000003" customHeight="1" x14ac:dyDescent="0.4">
      <c r="A54" s="30"/>
      <c r="B54" s="24"/>
      <c r="C54" s="24"/>
      <c r="D54" s="24"/>
      <c r="E54" s="24"/>
      <c r="F54" s="24"/>
      <c r="G54" s="11"/>
    </row>
    <row r="55" spans="1:7" s="4" customFormat="1" ht="34.950000000000003" customHeight="1" x14ac:dyDescent="0.4">
      <c r="A55" s="30"/>
      <c r="B55" s="24"/>
      <c r="C55" s="24"/>
      <c r="D55" s="24"/>
      <c r="E55" s="24"/>
      <c r="F55" s="24"/>
      <c r="G55" s="11"/>
    </row>
    <row r="56" spans="1:7" s="4" customFormat="1" ht="34.950000000000003" customHeight="1" x14ac:dyDescent="0.4">
      <c r="A56" s="30"/>
      <c r="B56" s="24"/>
      <c r="C56" s="24"/>
      <c r="D56" s="24"/>
      <c r="E56" s="24"/>
      <c r="F56" s="24"/>
      <c r="G56" s="24"/>
    </row>
    <row r="57" spans="1:7" s="4" customFormat="1" ht="34.950000000000003" customHeight="1" thickBot="1" x14ac:dyDescent="0.45">
      <c r="A57" s="29"/>
      <c r="B57" s="23"/>
      <c r="C57" s="23"/>
      <c r="D57" s="23"/>
      <c r="E57" s="23"/>
      <c r="F57" s="23"/>
      <c r="G57" s="12"/>
    </row>
    <row r="58" spans="1:7" s="4" customFormat="1" ht="34.950000000000003" customHeight="1" x14ac:dyDescent="0.4">
      <c r="A58" s="28" t="s">
        <v>7</v>
      </c>
      <c r="B58" s="22"/>
      <c r="C58" s="22"/>
      <c r="D58" s="22"/>
      <c r="E58" s="22"/>
      <c r="F58" s="22"/>
      <c r="G58" s="9"/>
    </row>
    <row r="59" spans="1:7" s="4" customFormat="1" ht="34.950000000000003" customHeight="1" x14ac:dyDescent="0.4">
      <c r="A59" s="30"/>
      <c r="B59" s="24"/>
      <c r="C59" s="24"/>
      <c r="D59" s="24"/>
      <c r="E59" s="24"/>
      <c r="F59" s="24"/>
      <c r="G59" s="11"/>
    </row>
    <row r="60" spans="1:7" s="4" customFormat="1" ht="34.950000000000003" customHeight="1" x14ac:dyDescent="0.4">
      <c r="A60" s="30"/>
      <c r="B60" s="24"/>
      <c r="C60" s="24"/>
      <c r="D60" s="24"/>
      <c r="E60" s="24"/>
      <c r="F60" s="24"/>
      <c r="G60" s="24"/>
    </row>
    <row r="61" spans="1:7" s="4" customFormat="1" ht="34.950000000000003" customHeight="1" x14ac:dyDescent="0.4">
      <c r="A61" s="30"/>
      <c r="B61" s="24"/>
      <c r="C61" s="24"/>
      <c r="D61" s="24"/>
      <c r="E61" s="24"/>
      <c r="F61" s="24"/>
      <c r="G61" s="11"/>
    </row>
    <row r="62" spans="1:7" s="4" customFormat="1" ht="34.950000000000003" customHeight="1" x14ac:dyDescent="0.4">
      <c r="A62" s="30"/>
      <c r="B62" s="24"/>
      <c r="C62" s="24"/>
      <c r="D62" s="24"/>
      <c r="E62" s="24"/>
      <c r="F62" s="24"/>
      <c r="G62" s="11"/>
    </row>
    <row r="63" spans="1:7" s="4" customFormat="1" ht="34.950000000000003" customHeight="1" x14ac:dyDescent="0.4">
      <c r="A63" s="30"/>
      <c r="B63" s="24"/>
      <c r="C63" s="24"/>
      <c r="D63" s="24"/>
      <c r="E63" s="24"/>
      <c r="F63" s="24"/>
      <c r="G63" s="11"/>
    </row>
    <row r="64" spans="1:7" s="4" customFormat="1" ht="34.950000000000003" customHeight="1" thickBot="1" x14ac:dyDescent="0.45">
      <c r="A64" s="29"/>
      <c r="B64" s="23"/>
      <c r="C64" s="23"/>
      <c r="D64" s="23"/>
      <c r="E64" s="23"/>
      <c r="F64" s="23"/>
      <c r="G64" s="12"/>
    </row>
    <row r="65" spans="1:7" s="4" customFormat="1" ht="34.950000000000003" customHeight="1" x14ac:dyDescent="0.4">
      <c r="A65" s="28" t="s">
        <v>8</v>
      </c>
      <c r="B65" s="22"/>
      <c r="C65" s="22"/>
      <c r="D65" s="22"/>
      <c r="E65" s="22"/>
      <c r="F65" s="22"/>
      <c r="G65" s="9"/>
    </row>
    <row r="66" spans="1:7" s="4" customFormat="1" ht="34.950000000000003" customHeight="1" x14ac:dyDescent="0.4">
      <c r="A66" s="30"/>
      <c r="B66" s="24"/>
      <c r="C66" s="24"/>
      <c r="D66" s="24"/>
      <c r="E66" s="24"/>
      <c r="F66" s="24"/>
      <c r="G66" s="11"/>
    </row>
    <row r="67" spans="1:7" s="4" customFormat="1" ht="34.950000000000003" customHeight="1" x14ac:dyDescent="0.4">
      <c r="A67" s="30"/>
      <c r="B67" s="24"/>
      <c r="C67" s="24"/>
      <c r="D67" s="24"/>
      <c r="E67" s="24"/>
      <c r="F67" s="24"/>
      <c r="G67" s="11"/>
    </row>
    <row r="68" spans="1:7" s="4" customFormat="1" ht="34.950000000000003" customHeight="1" x14ac:dyDescent="0.4">
      <c r="A68" s="30"/>
      <c r="B68" s="24"/>
      <c r="C68" s="24"/>
      <c r="D68" s="24"/>
      <c r="E68" s="24"/>
      <c r="F68" s="24"/>
      <c r="G68" s="11"/>
    </row>
    <row r="69" spans="1:7" s="4" customFormat="1" ht="34.950000000000003" customHeight="1" x14ac:dyDescent="0.4">
      <c r="A69" s="30"/>
      <c r="B69" s="24"/>
      <c r="C69" s="24"/>
      <c r="D69" s="24"/>
      <c r="E69" s="24"/>
      <c r="F69" s="24"/>
      <c r="G69" s="11"/>
    </row>
    <row r="70" spans="1:7" s="4" customFormat="1" ht="34.950000000000003" customHeight="1" x14ac:dyDescent="0.4">
      <c r="A70" s="30"/>
      <c r="B70" s="24"/>
      <c r="C70" s="24"/>
      <c r="D70" s="24"/>
      <c r="E70" s="24"/>
      <c r="F70" s="24"/>
      <c r="G70" s="11"/>
    </row>
    <row r="71" spans="1:7" s="4" customFormat="1" ht="34.950000000000003" customHeight="1" thickBot="1" x14ac:dyDescent="0.45">
      <c r="A71" s="29"/>
      <c r="B71" s="23"/>
      <c r="C71" s="23"/>
      <c r="D71" s="23"/>
      <c r="E71" s="23"/>
      <c r="F71" s="23"/>
      <c r="G71" s="12"/>
    </row>
    <row r="72" spans="1:7" s="4" customFormat="1" ht="34.950000000000003" customHeight="1" thickBot="1" x14ac:dyDescent="0.45">
      <c r="A72" s="28"/>
      <c r="B72" s="2" t="s">
        <v>0</v>
      </c>
      <c r="C72" s="2" t="s">
        <v>1</v>
      </c>
      <c r="D72" s="2" t="s">
        <v>2</v>
      </c>
      <c r="E72" s="2" t="s">
        <v>3</v>
      </c>
      <c r="F72" s="2" t="s">
        <v>4</v>
      </c>
      <c r="G72" s="3" t="s">
        <v>5</v>
      </c>
    </row>
    <row r="73" spans="1:7" s="4" customFormat="1" ht="34.950000000000003" customHeight="1" thickBot="1" x14ac:dyDescent="0.45">
      <c r="A73" s="29"/>
      <c r="B73" s="6">
        <f>$B$4+21</f>
        <v>46314</v>
      </c>
      <c r="C73" s="6">
        <f>$B$4+22</f>
        <v>46315</v>
      </c>
      <c r="D73" s="6">
        <f>$B$4+23</f>
        <v>46316</v>
      </c>
      <c r="E73" s="6">
        <f>$B$4+24</f>
        <v>46317</v>
      </c>
      <c r="F73" s="6">
        <f>$B$4+25</f>
        <v>46318</v>
      </c>
      <c r="G73" s="7">
        <f>$B$4+26</f>
        <v>46319</v>
      </c>
    </row>
    <row r="74" spans="1:7" s="4" customFormat="1" ht="34.950000000000003" customHeight="1" x14ac:dyDescent="0.4">
      <c r="A74" s="28" t="s">
        <v>6</v>
      </c>
      <c r="B74" s="25"/>
      <c r="C74" s="25"/>
      <c r="D74" s="25"/>
      <c r="E74" s="25"/>
      <c r="F74" s="25"/>
      <c r="G74" s="9"/>
    </row>
    <row r="75" spans="1:7" s="4" customFormat="1" ht="34.950000000000003" customHeight="1" x14ac:dyDescent="0.4">
      <c r="A75" s="30"/>
      <c r="B75" s="26"/>
      <c r="C75" s="26"/>
      <c r="D75" s="26"/>
      <c r="E75" s="26"/>
      <c r="F75" s="26"/>
      <c r="G75" s="11"/>
    </row>
    <row r="76" spans="1:7" s="4" customFormat="1" ht="34.950000000000003" customHeight="1" x14ac:dyDescent="0.4">
      <c r="A76" s="30"/>
      <c r="B76" s="26"/>
      <c r="C76" s="26"/>
      <c r="D76" s="26"/>
      <c r="E76" s="26"/>
      <c r="F76" s="26"/>
      <c r="G76" s="11"/>
    </row>
    <row r="77" spans="1:7" s="4" customFormat="1" ht="34.950000000000003" customHeight="1" x14ac:dyDescent="0.4">
      <c r="A77" s="30"/>
      <c r="B77" s="26"/>
      <c r="C77" s="26"/>
      <c r="D77" s="26"/>
      <c r="E77" s="26"/>
      <c r="F77" s="26"/>
      <c r="G77" s="11"/>
    </row>
    <row r="78" spans="1:7" s="4" customFormat="1" ht="34.950000000000003" customHeight="1" x14ac:dyDescent="0.4">
      <c r="A78" s="30"/>
      <c r="B78" s="26"/>
      <c r="C78" s="26"/>
      <c r="D78" s="26"/>
      <c r="E78" s="26"/>
      <c r="F78" s="26"/>
      <c r="G78" s="11"/>
    </row>
    <row r="79" spans="1:7" s="4" customFormat="1" ht="34.950000000000003" customHeight="1" x14ac:dyDescent="0.4">
      <c r="A79" s="30"/>
      <c r="B79" s="26"/>
      <c r="C79" s="26"/>
      <c r="D79" s="26"/>
      <c r="E79" s="26"/>
      <c r="F79" s="26"/>
      <c r="G79" s="26"/>
    </row>
    <row r="80" spans="1:7" s="4" customFormat="1" ht="34.950000000000003" customHeight="1" thickBot="1" x14ac:dyDescent="0.45">
      <c r="A80" s="29"/>
      <c r="B80" s="27"/>
      <c r="C80" s="27"/>
      <c r="D80" s="27"/>
      <c r="E80" s="27"/>
      <c r="F80" s="27"/>
      <c r="G80" s="12"/>
    </row>
    <row r="81" spans="1:7" s="4" customFormat="1" ht="34.950000000000003" customHeight="1" x14ac:dyDescent="0.4">
      <c r="A81" s="28" t="s">
        <v>7</v>
      </c>
      <c r="B81" s="25"/>
      <c r="C81" s="25"/>
      <c r="D81" s="25"/>
      <c r="E81" s="25"/>
      <c r="F81" s="25"/>
      <c r="G81" s="9"/>
    </row>
    <row r="82" spans="1:7" s="4" customFormat="1" ht="34.950000000000003" customHeight="1" x14ac:dyDescent="0.4">
      <c r="A82" s="30"/>
      <c r="B82" s="26"/>
      <c r="C82" s="26"/>
      <c r="D82" s="26"/>
      <c r="E82" s="26"/>
      <c r="F82" s="26"/>
      <c r="G82" s="11"/>
    </row>
    <row r="83" spans="1:7" s="4" customFormat="1" ht="34.950000000000003" customHeight="1" x14ac:dyDescent="0.4">
      <c r="A83" s="30"/>
      <c r="B83" s="26"/>
      <c r="C83" s="26"/>
      <c r="D83" s="26"/>
      <c r="E83" s="26"/>
      <c r="F83" s="26"/>
      <c r="G83" s="26"/>
    </row>
    <row r="84" spans="1:7" s="4" customFormat="1" ht="34.950000000000003" customHeight="1" x14ac:dyDescent="0.4">
      <c r="A84" s="30"/>
      <c r="B84" s="26"/>
      <c r="C84" s="26"/>
      <c r="D84" s="26"/>
      <c r="E84" s="26"/>
      <c r="F84" s="26"/>
      <c r="G84" s="11"/>
    </row>
    <row r="85" spans="1:7" s="4" customFormat="1" ht="34.950000000000003" customHeight="1" x14ac:dyDescent="0.4">
      <c r="A85" s="30"/>
      <c r="B85" s="26"/>
      <c r="C85" s="26"/>
      <c r="D85" s="26"/>
      <c r="E85" s="26"/>
      <c r="F85" s="26"/>
      <c r="G85" s="11"/>
    </row>
    <row r="86" spans="1:7" s="4" customFormat="1" ht="34.950000000000003" customHeight="1" x14ac:dyDescent="0.4">
      <c r="A86" s="30"/>
      <c r="B86" s="26"/>
      <c r="C86" s="26"/>
      <c r="D86" s="26"/>
      <c r="E86" s="26"/>
      <c r="F86" s="26"/>
      <c r="G86" s="11"/>
    </row>
    <row r="87" spans="1:7" s="4" customFormat="1" ht="34.950000000000003" customHeight="1" thickBot="1" x14ac:dyDescent="0.45">
      <c r="A87" s="29"/>
      <c r="B87" s="27"/>
      <c r="C87" s="27"/>
      <c r="D87" s="27"/>
      <c r="E87" s="27"/>
      <c r="F87" s="27"/>
      <c r="G87" s="12"/>
    </row>
    <row r="88" spans="1:7" s="4" customFormat="1" ht="34.950000000000003" customHeight="1" x14ac:dyDescent="0.4">
      <c r="A88" s="28" t="s">
        <v>8</v>
      </c>
      <c r="B88" s="25"/>
      <c r="C88" s="25"/>
      <c r="D88" s="25"/>
      <c r="E88" s="25"/>
      <c r="F88" s="25"/>
      <c r="G88" s="9"/>
    </row>
    <row r="89" spans="1:7" s="4" customFormat="1" ht="34.950000000000003" customHeight="1" x14ac:dyDescent="0.4">
      <c r="A89" s="30"/>
      <c r="B89" s="26"/>
      <c r="C89" s="26"/>
      <c r="D89" s="26"/>
      <c r="E89" s="26"/>
      <c r="F89" s="26"/>
      <c r="G89" s="11"/>
    </row>
    <row r="90" spans="1:7" s="4" customFormat="1" ht="34.950000000000003" customHeight="1" x14ac:dyDescent="0.4">
      <c r="A90" s="30"/>
      <c r="B90" s="26"/>
      <c r="C90" s="26"/>
      <c r="D90" s="26"/>
      <c r="E90" s="26"/>
      <c r="F90" s="26"/>
      <c r="G90" s="11"/>
    </row>
    <row r="91" spans="1:7" s="4" customFormat="1" ht="34.950000000000003" customHeight="1" x14ac:dyDescent="0.4">
      <c r="A91" s="30"/>
      <c r="B91" s="26"/>
      <c r="C91" s="26"/>
      <c r="D91" s="26"/>
      <c r="E91" s="26"/>
      <c r="F91" s="26"/>
      <c r="G91" s="11"/>
    </row>
    <row r="92" spans="1:7" s="4" customFormat="1" ht="34.950000000000003" customHeight="1" x14ac:dyDescent="0.4">
      <c r="A92" s="30"/>
      <c r="B92" s="26"/>
      <c r="C92" s="26"/>
      <c r="D92" s="26"/>
      <c r="E92" s="26"/>
      <c r="F92" s="26"/>
      <c r="G92" s="11"/>
    </row>
    <row r="93" spans="1:7" s="4" customFormat="1" ht="34.950000000000003" customHeight="1" x14ac:dyDescent="0.4">
      <c r="A93" s="30"/>
      <c r="B93" s="26"/>
      <c r="C93" s="26"/>
      <c r="D93" s="26"/>
      <c r="E93" s="26"/>
      <c r="F93" s="26"/>
      <c r="G93" s="11"/>
    </row>
    <row r="94" spans="1:7" s="4" customFormat="1" ht="34.950000000000003" customHeight="1" thickBot="1" x14ac:dyDescent="0.45">
      <c r="A94" s="29"/>
      <c r="B94" s="27"/>
      <c r="C94" s="27"/>
      <c r="D94" s="27"/>
      <c r="E94" s="27"/>
      <c r="F94" s="27"/>
      <c r="G94" s="12"/>
    </row>
    <row r="95" spans="1:7" s="4" customFormat="1" ht="34.950000000000003" customHeight="1" thickBot="1" x14ac:dyDescent="0.45">
      <c r="A95" s="28"/>
      <c r="B95" s="2" t="s">
        <v>0</v>
      </c>
      <c r="C95" s="2" t="s">
        <v>1</v>
      </c>
      <c r="D95" s="2" t="s">
        <v>2</v>
      </c>
      <c r="E95" s="2" t="s">
        <v>3</v>
      </c>
      <c r="F95" s="2" t="s">
        <v>4</v>
      </c>
      <c r="G95" s="3" t="s">
        <v>5</v>
      </c>
    </row>
    <row r="96" spans="1:7" s="4" customFormat="1" ht="34.950000000000003" customHeight="1" thickBot="1" x14ac:dyDescent="0.45">
      <c r="A96" s="29"/>
      <c r="B96" s="6">
        <f>$B$4+28</f>
        <v>46321</v>
      </c>
      <c r="C96" s="6">
        <f>$B$4+29</f>
        <v>46322</v>
      </c>
      <c r="D96" s="6">
        <f>$B$4+30</f>
        <v>46323</v>
      </c>
      <c r="E96" s="6">
        <f>$B$4+31</f>
        <v>46324</v>
      </c>
      <c r="F96" s="6">
        <f>$B$4+32</f>
        <v>46325</v>
      </c>
      <c r="G96" s="7">
        <f>$B$4+33</f>
        <v>46326</v>
      </c>
    </row>
    <row r="97" spans="1:7" s="4" customFormat="1" ht="34.950000000000003" customHeight="1" x14ac:dyDescent="0.4">
      <c r="A97" s="28" t="s">
        <v>6</v>
      </c>
      <c r="B97" s="25"/>
      <c r="C97" s="25"/>
      <c r="D97" s="25"/>
      <c r="E97" s="25"/>
      <c r="F97" s="25"/>
      <c r="G97" s="9"/>
    </row>
    <row r="98" spans="1:7" s="4" customFormat="1" ht="34.950000000000003" customHeight="1" x14ac:dyDescent="0.4">
      <c r="A98" s="30"/>
      <c r="B98" s="26"/>
      <c r="C98" s="26"/>
      <c r="D98" s="26"/>
      <c r="E98" s="26"/>
      <c r="F98" s="26"/>
      <c r="G98" s="11"/>
    </row>
    <row r="99" spans="1:7" s="4" customFormat="1" ht="34.950000000000003" customHeight="1" x14ac:dyDescent="0.4">
      <c r="A99" s="30"/>
      <c r="B99" s="26"/>
      <c r="C99" s="26"/>
      <c r="D99" s="26"/>
      <c r="E99" s="26"/>
      <c r="F99" s="26"/>
      <c r="G99" s="11"/>
    </row>
    <row r="100" spans="1:7" s="4" customFormat="1" ht="34.950000000000003" customHeight="1" x14ac:dyDescent="0.4">
      <c r="A100" s="30"/>
      <c r="B100" s="26"/>
      <c r="C100" s="26"/>
      <c r="D100" s="26"/>
      <c r="E100" s="26"/>
      <c r="F100" s="26"/>
      <c r="G100" s="11"/>
    </row>
    <row r="101" spans="1:7" s="4" customFormat="1" ht="34.950000000000003" customHeight="1" x14ac:dyDescent="0.4">
      <c r="A101" s="30"/>
      <c r="B101" s="26"/>
      <c r="C101" s="26"/>
      <c r="D101" s="26"/>
      <c r="E101" s="26"/>
      <c r="F101" s="26"/>
      <c r="G101" s="11"/>
    </row>
    <row r="102" spans="1:7" s="4" customFormat="1" ht="34.950000000000003" customHeight="1" x14ac:dyDescent="0.4">
      <c r="A102" s="30"/>
      <c r="B102" s="26"/>
      <c r="C102" s="26"/>
      <c r="D102" s="26"/>
      <c r="E102" s="26"/>
      <c r="F102" s="26"/>
      <c r="G102" s="26"/>
    </row>
    <row r="103" spans="1:7" s="4" customFormat="1" ht="34.950000000000003" customHeight="1" thickBot="1" x14ac:dyDescent="0.45">
      <c r="A103" s="29"/>
      <c r="B103" s="27"/>
      <c r="C103" s="27"/>
      <c r="D103" s="27"/>
      <c r="E103" s="27"/>
      <c r="F103" s="27"/>
      <c r="G103" s="12"/>
    </row>
    <row r="104" spans="1:7" s="4" customFormat="1" ht="34.950000000000003" customHeight="1" x14ac:dyDescent="0.4">
      <c r="A104" s="28" t="s">
        <v>7</v>
      </c>
      <c r="B104" s="25"/>
      <c r="C104" s="25"/>
      <c r="D104" s="25"/>
      <c r="E104" s="25"/>
      <c r="F104" s="25"/>
      <c r="G104" s="9"/>
    </row>
    <row r="105" spans="1:7" s="4" customFormat="1" ht="34.950000000000003" customHeight="1" x14ac:dyDescent="0.4">
      <c r="A105" s="30"/>
      <c r="B105" s="26"/>
      <c r="C105" s="26"/>
      <c r="D105" s="26"/>
      <c r="E105" s="26"/>
      <c r="F105" s="26"/>
      <c r="G105" s="11"/>
    </row>
    <row r="106" spans="1:7" s="4" customFormat="1" ht="34.950000000000003" customHeight="1" x14ac:dyDescent="0.4">
      <c r="A106" s="30"/>
      <c r="B106" s="26"/>
      <c r="C106" s="26"/>
      <c r="D106" s="26"/>
      <c r="E106" s="26"/>
      <c r="F106" s="26"/>
      <c r="G106" s="26"/>
    </row>
    <row r="107" spans="1:7" s="4" customFormat="1" ht="34.950000000000003" customHeight="1" x14ac:dyDescent="0.4">
      <c r="A107" s="30"/>
      <c r="B107" s="26"/>
      <c r="C107" s="26"/>
      <c r="D107" s="26"/>
      <c r="E107" s="26"/>
      <c r="F107" s="26"/>
      <c r="G107" s="11"/>
    </row>
    <row r="108" spans="1:7" s="4" customFormat="1" ht="34.950000000000003" customHeight="1" x14ac:dyDescent="0.4">
      <c r="A108" s="30"/>
      <c r="B108" s="26"/>
      <c r="C108" s="26"/>
      <c r="D108" s="26"/>
      <c r="E108" s="26"/>
      <c r="F108" s="26"/>
      <c r="G108" s="11"/>
    </row>
    <row r="109" spans="1:7" s="4" customFormat="1" ht="34.950000000000003" customHeight="1" x14ac:dyDescent="0.4">
      <c r="A109" s="30"/>
      <c r="B109" s="26"/>
      <c r="C109" s="26"/>
      <c r="D109" s="26"/>
      <c r="E109" s="26"/>
      <c r="F109" s="26"/>
      <c r="G109" s="11"/>
    </row>
    <row r="110" spans="1:7" s="4" customFormat="1" ht="34.950000000000003" customHeight="1" thickBot="1" x14ac:dyDescent="0.45">
      <c r="A110" s="29"/>
      <c r="B110" s="27"/>
      <c r="C110" s="27"/>
      <c r="D110" s="27"/>
      <c r="E110" s="27"/>
      <c r="F110" s="27"/>
      <c r="G110" s="12"/>
    </row>
    <row r="111" spans="1:7" s="4" customFormat="1" ht="34.950000000000003" customHeight="1" x14ac:dyDescent="0.4">
      <c r="A111" s="28" t="s">
        <v>8</v>
      </c>
      <c r="B111" s="25"/>
      <c r="C111" s="25"/>
      <c r="D111" s="25"/>
      <c r="E111" s="25"/>
      <c r="F111" s="25"/>
      <c r="G111" s="9"/>
    </row>
    <row r="112" spans="1:7" s="4" customFormat="1" ht="34.950000000000003" customHeight="1" x14ac:dyDescent="0.4">
      <c r="A112" s="30"/>
      <c r="B112" s="26"/>
      <c r="C112" s="26"/>
      <c r="D112" s="26"/>
      <c r="E112" s="26"/>
      <c r="F112" s="26"/>
      <c r="G112" s="11"/>
    </row>
    <row r="113" spans="1:7" s="4" customFormat="1" ht="34.950000000000003" customHeight="1" x14ac:dyDescent="0.4">
      <c r="A113" s="30"/>
      <c r="B113" s="26"/>
      <c r="C113" s="26"/>
      <c r="D113" s="26"/>
      <c r="E113" s="26"/>
      <c r="F113" s="26"/>
      <c r="G113" s="11"/>
    </row>
    <row r="114" spans="1:7" s="4" customFormat="1" ht="34.950000000000003" customHeight="1" x14ac:dyDescent="0.4">
      <c r="A114" s="30"/>
      <c r="B114" s="26"/>
      <c r="C114" s="26"/>
      <c r="D114" s="26"/>
      <c r="E114" s="26"/>
      <c r="F114" s="26"/>
      <c r="G114" s="11"/>
    </row>
    <row r="115" spans="1:7" s="4" customFormat="1" ht="34.950000000000003" customHeight="1" x14ac:dyDescent="0.4">
      <c r="A115" s="30"/>
      <c r="B115" s="26"/>
      <c r="C115" s="26"/>
      <c r="D115" s="26"/>
      <c r="E115" s="26"/>
      <c r="F115" s="26"/>
      <c r="G115" s="11"/>
    </row>
    <row r="116" spans="1:7" s="4" customFormat="1" ht="34.950000000000003" customHeight="1" x14ac:dyDescent="0.4">
      <c r="A116" s="30"/>
      <c r="B116" s="26"/>
      <c r="C116" s="26"/>
      <c r="D116" s="26"/>
      <c r="E116" s="26"/>
      <c r="F116" s="26"/>
      <c r="G116" s="11"/>
    </row>
    <row r="117" spans="1:7" s="4" customFormat="1" ht="34.950000000000003" customHeight="1" thickBot="1" x14ac:dyDescent="0.45">
      <c r="A117" s="29"/>
      <c r="B117" s="27"/>
      <c r="C117" s="27"/>
      <c r="D117" s="27"/>
      <c r="E117" s="27"/>
      <c r="F117" s="27"/>
      <c r="G117" s="12"/>
    </row>
    <row r="118" spans="1:7" s="4" customFormat="1" ht="34.950000000000003" customHeight="1" thickBot="1" x14ac:dyDescent="0.45">
      <c r="A118" s="28"/>
      <c r="B118" s="2" t="s">
        <v>0</v>
      </c>
      <c r="C118" s="2" t="s">
        <v>1</v>
      </c>
      <c r="D118" s="2" t="s">
        <v>2</v>
      </c>
      <c r="E118" s="2" t="s">
        <v>3</v>
      </c>
      <c r="F118" s="2" t="s">
        <v>4</v>
      </c>
      <c r="G118" s="3" t="s">
        <v>5</v>
      </c>
    </row>
    <row r="119" spans="1:7" s="4" customFormat="1" ht="34.950000000000003" customHeight="1" thickBot="1" x14ac:dyDescent="0.45">
      <c r="A119" s="29"/>
      <c r="B119" s="6">
        <f>$B$4+35</f>
        <v>46328</v>
      </c>
      <c r="C119" s="6">
        <f>$B$4+36</f>
        <v>46329</v>
      </c>
      <c r="D119" s="6">
        <f>$B$4+37</f>
        <v>46330</v>
      </c>
      <c r="E119" s="6">
        <f>$B$4+38</f>
        <v>46331</v>
      </c>
      <c r="F119" s="6">
        <f>$B$4+39</f>
        <v>46332</v>
      </c>
      <c r="G119" s="7">
        <f>$B$4+40</f>
        <v>46333</v>
      </c>
    </row>
    <row r="120" spans="1:7" s="4" customFormat="1" ht="34.950000000000003" customHeight="1" x14ac:dyDescent="0.4">
      <c r="A120" s="28" t="s">
        <v>6</v>
      </c>
      <c r="B120" s="25"/>
      <c r="C120" s="25"/>
      <c r="D120" s="25"/>
      <c r="E120" s="25"/>
      <c r="F120" s="25"/>
      <c r="G120" s="9"/>
    </row>
    <row r="121" spans="1:7" s="4" customFormat="1" ht="34.950000000000003" customHeight="1" x14ac:dyDescent="0.4">
      <c r="A121" s="30"/>
      <c r="B121" s="26"/>
      <c r="C121" s="26"/>
      <c r="D121" s="26"/>
      <c r="E121" s="26"/>
      <c r="F121" s="26"/>
      <c r="G121" s="11"/>
    </row>
    <row r="122" spans="1:7" s="4" customFormat="1" ht="34.950000000000003" customHeight="1" x14ac:dyDescent="0.4">
      <c r="A122" s="30"/>
      <c r="B122" s="26"/>
      <c r="C122" s="26"/>
      <c r="D122" s="26"/>
      <c r="E122" s="26"/>
      <c r="F122" s="26"/>
      <c r="G122" s="11"/>
    </row>
    <row r="123" spans="1:7" s="4" customFormat="1" ht="34.950000000000003" customHeight="1" x14ac:dyDescent="0.4">
      <c r="A123" s="30"/>
      <c r="B123" s="26"/>
      <c r="C123" s="26"/>
      <c r="D123" s="26"/>
      <c r="E123" s="26"/>
      <c r="F123" s="26"/>
      <c r="G123" s="11"/>
    </row>
    <row r="124" spans="1:7" s="4" customFormat="1" ht="34.950000000000003" customHeight="1" x14ac:dyDescent="0.4">
      <c r="A124" s="30"/>
      <c r="B124" s="26"/>
      <c r="C124" s="26"/>
      <c r="D124" s="26"/>
      <c r="E124" s="26"/>
      <c r="F124" s="26"/>
      <c r="G124" s="11"/>
    </row>
    <row r="125" spans="1:7" s="4" customFormat="1" ht="34.950000000000003" customHeight="1" x14ac:dyDescent="0.4">
      <c r="A125" s="30"/>
      <c r="B125" s="26"/>
      <c r="C125" s="26"/>
      <c r="D125" s="26"/>
      <c r="E125" s="26"/>
      <c r="F125" s="26"/>
      <c r="G125" s="26"/>
    </row>
    <row r="126" spans="1:7" s="4" customFormat="1" ht="34.950000000000003" customHeight="1" thickBot="1" x14ac:dyDescent="0.45">
      <c r="A126" s="29"/>
      <c r="B126" s="27"/>
      <c r="C126" s="27"/>
      <c r="D126" s="27"/>
      <c r="E126" s="27"/>
      <c r="F126" s="27"/>
      <c r="G126" s="12"/>
    </row>
    <row r="127" spans="1:7" s="4" customFormat="1" ht="34.950000000000003" customHeight="1" x14ac:dyDescent="0.4">
      <c r="A127" s="28" t="s">
        <v>7</v>
      </c>
      <c r="B127" s="25"/>
      <c r="C127" s="25"/>
      <c r="D127" s="25"/>
      <c r="E127" s="25"/>
      <c r="F127" s="25"/>
      <c r="G127" s="9"/>
    </row>
    <row r="128" spans="1:7" s="4" customFormat="1" ht="34.950000000000003" customHeight="1" x14ac:dyDescent="0.4">
      <c r="A128" s="30"/>
      <c r="B128" s="26"/>
      <c r="C128" s="26"/>
      <c r="D128" s="26"/>
      <c r="E128" s="26"/>
      <c r="F128" s="26"/>
      <c r="G128" s="11"/>
    </row>
    <row r="129" spans="1:7" s="4" customFormat="1" ht="34.950000000000003" customHeight="1" x14ac:dyDescent="0.4">
      <c r="A129" s="30"/>
      <c r="B129" s="26"/>
      <c r="C129" s="26"/>
      <c r="D129" s="26"/>
      <c r="E129" s="26"/>
      <c r="F129" s="26"/>
      <c r="G129" s="26"/>
    </row>
    <row r="130" spans="1:7" s="4" customFormat="1" ht="34.950000000000003" customHeight="1" x14ac:dyDescent="0.4">
      <c r="A130" s="30"/>
      <c r="B130" s="26"/>
      <c r="C130" s="26"/>
      <c r="D130" s="26"/>
      <c r="E130" s="26"/>
      <c r="F130" s="26"/>
      <c r="G130" s="11"/>
    </row>
    <row r="131" spans="1:7" s="4" customFormat="1" ht="34.950000000000003" customHeight="1" x14ac:dyDescent="0.4">
      <c r="A131" s="30"/>
      <c r="B131" s="26"/>
      <c r="C131" s="26"/>
      <c r="D131" s="26"/>
      <c r="E131" s="26"/>
      <c r="F131" s="26"/>
      <c r="G131" s="11"/>
    </row>
    <row r="132" spans="1:7" s="4" customFormat="1" ht="34.950000000000003" customHeight="1" x14ac:dyDescent="0.4">
      <c r="A132" s="30"/>
      <c r="B132" s="26"/>
      <c r="C132" s="26"/>
      <c r="D132" s="26"/>
      <c r="E132" s="26"/>
      <c r="F132" s="26"/>
      <c r="G132" s="11"/>
    </row>
    <row r="133" spans="1:7" s="4" customFormat="1" ht="34.950000000000003" customHeight="1" thickBot="1" x14ac:dyDescent="0.45">
      <c r="A133" s="29"/>
      <c r="B133" s="27"/>
      <c r="C133" s="27"/>
      <c r="D133" s="27"/>
      <c r="E133" s="27"/>
      <c r="F133" s="27"/>
      <c r="G133" s="12"/>
    </row>
    <row r="134" spans="1:7" s="4" customFormat="1" ht="34.950000000000003" customHeight="1" x14ac:dyDescent="0.4">
      <c r="A134" s="28" t="s">
        <v>8</v>
      </c>
      <c r="B134" s="25"/>
      <c r="C134" s="25"/>
      <c r="D134" s="25"/>
      <c r="E134" s="25"/>
      <c r="F134" s="25"/>
      <c r="G134" s="9"/>
    </row>
    <row r="135" spans="1:7" s="4" customFormat="1" ht="34.950000000000003" customHeight="1" x14ac:dyDescent="0.4">
      <c r="A135" s="30"/>
      <c r="B135" s="26"/>
      <c r="C135" s="26"/>
      <c r="D135" s="26"/>
      <c r="E135" s="26"/>
      <c r="F135" s="26"/>
      <c r="G135" s="11"/>
    </row>
    <row r="136" spans="1:7" s="4" customFormat="1" ht="34.950000000000003" customHeight="1" x14ac:dyDescent="0.4">
      <c r="A136" s="30"/>
      <c r="B136" s="26"/>
      <c r="C136" s="26"/>
      <c r="D136" s="26"/>
      <c r="E136" s="26"/>
      <c r="F136" s="26"/>
      <c r="G136" s="11"/>
    </row>
    <row r="137" spans="1:7" s="4" customFormat="1" ht="34.950000000000003" customHeight="1" x14ac:dyDescent="0.4">
      <c r="A137" s="30"/>
      <c r="B137" s="26"/>
      <c r="C137" s="26"/>
      <c r="D137" s="26"/>
      <c r="E137" s="26"/>
      <c r="F137" s="26"/>
      <c r="G137" s="11"/>
    </row>
    <row r="138" spans="1:7" s="4" customFormat="1" ht="34.950000000000003" customHeight="1" x14ac:dyDescent="0.4">
      <c r="A138" s="30"/>
      <c r="B138" s="26"/>
      <c r="C138" s="26"/>
      <c r="D138" s="26"/>
      <c r="E138" s="26"/>
      <c r="F138" s="26"/>
      <c r="G138" s="11"/>
    </row>
    <row r="139" spans="1:7" s="4" customFormat="1" ht="34.950000000000003" customHeight="1" x14ac:dyDescent="0.4">
      <c r="A139" s="30"/>
      <c r="B139" s="26"/>
      <c r="C139" s="26"/>
      <c r="D139" s="26"/>
      <c r="E139" s="26"/>
      <c r="F139" s="26"/>
      <c r="G139" s="11"/>
    </row>
    <row r="140" spans="1:7" s="4" customFormat="1" ht="34.950000000000003" customHeight="1" thickBot="1" x14ac:dyDescent="0.45">
      <c r="A140" s="29"/>
      <c r="B140" s="27"/>
      <c r="C140" s="27"/>
      <c r="D140" s="27"/>
      <c r="E140" s="27"/>
      <c r="F140" s="27"/>
      <c r="G140" s="12"/>
    </row>
  </sheetData>
  <mergeCells count="25">
    <mergeCell ref="A42:A48"/>
    <mergeCell ref="A72:A73"/>
    <mergeCell ref="A74:A80"/>
    <mergeCell ref="A81:A87"/>
    <mergeCell ref="A88:A94"/>
    <mergeCell ref="A1:G1"/>
    <mergeCell ref="A3:A4"/>
    <mergeCell ref="A5:A11"/>
    <mergeCell ref="A12:A18"/>
    <mergeCell ref="A19:A25"/>
    <mergeCell ref="A49:A50"/>
    <mergeCell ref="A51:A57"/>
    <mergeCell ref="A58:A64"/>
    <mergeCell ref="A65:A71"/>
    <mergeCell ref="A26:A27"/>
    <mergeCell ref="A28:A34"/>
    <mergeCell ref="A35:A41"/>
    <mergeCell ref="A95:A96"/>
    <mergeCell ref="A97:A103"/>
    <mergeCell ref="A104:A110"/>
    <mergeCell ref="A111:A117"/>
    <mergeCell ref="A118:A119"/>
    <mergeCell ref="A120:A126"/>
    <mergeCell ref="A127:A133"/>
    <mergeCell ref="A134:A140"/>
  </mergeCells>
  <phoneticPr fontId="1" type="noConversion"/>
  <conditionalFormatting sqref="B4:G4 B27:G27 B50:G50 B73:G73 B96:G96 B119:G119">
    <cfRule type="expression" dxfId="3" priority="1">
      <formula>MONTH(B4)&lt;&gt;MONTH(시작일)</formula>
    </cfRule>
  </conditionalFormatting>
  <conditionalFormatting sqref="B5:G25">
    <cfRule type="expression" dxfId="0" priority="2">
      <formula>AND(LEN(TRIM(B5))&gt;0,COUNTIF(제외목록,TRIM(B5))=0,COUNTIF(B$5:B$25,B5)&gt;1)</formula>
    </cfRule>
    <cfRule type="expression" dxfId="1" priority="3">
      <formula>AND(LEN(TRIM(B5))&gt;0,COUNTIF(제외목록,TRIM(B5))=0,COUNTIF($B$5:$G$25,B5)&gt;1)</formula>
    </cfRule>
    <cfRule type="expression" dxfId="2" priority="4">
      <formula>AND(LEN(TRIM(B5))&gt;0,COUNTIF(제외목록,TRIM(B5))=0,COUNTIF($B$5:$G$141,B5)&gt;1)</formula>
    </cfRule>
  </conditionalFormatting>
  <conditionalFormatting sqref="B28:G48">
    <cfRule type="expression" dxfId="0" priority="5">
      <formula>AND(LEN(TRIM(B28))&gt;0,COUNTIF(제외목록,TRIM(B28))=0,COUNTIF(B$28:B$48,B28)&gt;1)</formula>
    </cfRule>
    <cfRule type="expression" dxfId="1" priority="6">
      <formula>AND(LEN(TRIM(B28))&gt;0,COUNTIF(제외목록,TRIM(B28))=0,COUNTIF($B$28:$G$48,B28)&gt;1)</formula>
    </cfRule>
    <cfRule type="expression" dxfId="2" priority="7">
      <formula>AND(LEN(TRIM(B28))&gt;0,COUNTIF(제외목록,TRIM(B28))=0,COUNTIF($B$5:$G$141,B28)&gt;1)</formula>
    </cfRule>
  </conditionalFormatting>
  <conditionalFormatting sqref="B51:G71">
    <cfRule type="expression" dxfId="0" priority="8">
      <formula>AND(LEN(TRIM(B51))&gt;0,COUNTIF(제외목록,TRIM(B51))=0,COUNTIF(B$51:B$71,B51)&gt;1)</formula>
    </cfRule>
    <cfRule type="expression" dxfId="1" priority="9">
      <formula>AND(LEN(TRIM(B51))&gt;0,COUNTIF(제외목록,TRIM(B51))=0,COUNTIF($B$51:$G$71,B51)&gt;1)</formula>
    </cfRule>
    <cfRule type="expression" dxfId="2" priority="10">
      <formula>AND(LEN(TRIM(B51))&gt;0,COUNTIF(제외목록,TRIM(B51))=0,COUNTIF($B$5:$G$141,B51)&gt;1)</formula>
    </cfRule>
  </conditionalFormatting>
  <conditionalFormatting sqref="B74:G94">
    <cfRule type="expression" dxfId="0" priority="11">
      <formula>AND(LEN(TRIM(B74))&gt;0,COUNTIF(제외목록,TRIM(B74))=0,COUNTIF(B$74:B$94,B74)&gt;1)</formula>
    </cfRule>
    <cfRule type="expression" dxfId="1" priority="12">
      <formula>AND(LEN(TRIM(B74))&gt;0,COUNTIF(제외목록,TRIM(B74))=0,COUNTIF($B$74:$G$94,B74)&gt;1)</formula>
    </cfRule>
    <cfRule type="expression" dxfId="2" priority="13">
      <formula>AND(LEN(TRIM(B74))&gt;0,COUNTIF(제외목록,TRIM(B74))=0,COUNTIF($B$5:$G$141,B74)&gt;1)</formula>
    </cfRule>
  </conditionalFormatting>
  <conditionalFormatting sqref="B97:G117">
    <cfRule type="expression" dxfId="0" priority="14">
      <formula>AND(LEN(TRIM(B97))&gt;0,COUNTIF(제외목록,TRIM(B97))=0,COUNTIF(B$97:B$117,B97)&gt;1)</formula>
    </cfRule>
    <cfRule type="expression" dxfId="1" priority="15">
      <formula>AND(LEN(TRIM(B97))&gt;0,COUNTIF(제외목록,TRIM(B97))=0,COUNTIF($B$97:$G$117,B97)&gt;1)</formula>
    </cfRule>
    <cfRule type="expression" dxfId="2" priority="16">
      <formula>AND(LEN(TRIM(B97))&gt;0,COUNTIF(제외목록,TRIM(B97))=0,COUNTIF($B$5:$G$141,B97)&gt;1)</formula>
    </cfRule>
  </conditionalFormatting>
  <conditionalFormatting sqref="B120:G140">
    <cfRule type="expression" dxfId="0" priority="17">
      <formula>AND(LEN(TRIM(B120))&gt;0,COUNTIF(제외목록,TRIM(B120))=0,COUNTIF(B$120:B$140,B120)&gt;1)</formula>
    </cfRule>
    <cfRule type="expression" dxfId="1" priority="18">
      <formula>AND(LEN(TRIM(B120))&gt;0,COUNTIF(제외목록,TRIM(B120))=0,COUNTIF($B$120:$G$140,B120)&gt;1)</formula>
    </cfRule>
    <cfRule type="expression" dxfId="2" priority="19">
      <formula>AND(LEN(TRIM(B120))&gt;0,COUNTIF(제외목록,TRIM(B120))=0,COUNTIF($B$5:$G$141,B120)&gt;1)</formula>
    </cfRule>
  </conditionalFormatting>
  <pageMargins left="0.7" right="0.7" top="0.75" bottom="0.75" header="0.3" footer="0.3"/>
  <pageSetup paperSize="9" scale="54" orientation="landscape" r:id="rId1"/>
  <rowBreaks count="2" manualBreakCount="2">
    <brk id="2" max="16383" man="1"/>
    <brk id="24" max="16383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B1:D59"/>
  <sheetViews>
    <sheetView workbookViewId="0">
      <selection activeCell="C3" sqref="C3"/>
    </sheetView>
  </sheetViews>
  <sheetFormatPr defaultRowHeight="17.4"/>
  <cols>
    <col min="1" max="1" width="3" customWidth="1"/>
    <col min="2" max="2" width="24" customWidth="1"/>
    <col min="3" max="3" width="26" customWidth="1"/>
    <col min="4" max="4" width="60" customWidth="1"/>
  </cols>
  <sheetData>
    <row r="1" ht="30" customHeight="1">
      <c r="B1" s="33" t="inlineStr">
        <is>
          <t>식단표 설정</t>
        </is>
      </c>
    </row>
    <row r="3" ht="30" customHeight="1">
      <c r="B3" s="4" t="inlineStr">
        <is>
          <t>시작일</t>
        </is>
      </c>
      <c r="C3" s="32">
        <v>46296</v>
      </c>
      <c r="D3" s="4" t="inlineStr">
        <is>
          <t>← 아무 날짜나 입력하면 그 주 월요일부터 날짜가 채워집니다</t>
        </is>
      </c>
    </row>
    <row r="5" ht="24" customHeight="1">
      <c r="B5" s="33" t="inlineStr">
        <is>
          <t>중복 표시 색상</t>
        </is>
      </c>
    </row>
    <row r="6" ht="24" customHeight="1">
      <c r="B6" s="34" t="inlineStr">
        <is>
          <t>같은 날 중복</t>
        </is>
      </c>
      <c r="C6" s="4" t="inlineStr">
        <is>
          <t>하루(조·중·석) 안에서 겹침</t>
        </is>
      </c>
    </row>
    <row r="7" ht="24" customHeight="1">
      <c r="B7" s="35" t="inlineStr">
        <is>
          <t>같은 주 중복</t>
        </is>
      </c>
      <c r="C7" s="4" t="inlineStr">
        <is>
          <t>같은 주(월~토) 안에서 겹침</t>
        </is>
      </c>
    </row>
    <row r="8" ht="24" customHeight="1">
      <c r="B8" s="36" t="inlineStr">
        <is>
          <t>한 달 중복</t>
        </is>
      </c>
      <c r="C8" s="4" t="inlineStr">
        <is>
          <t>6주 전체에서 겹침</t>
        </is>
      </c>
    </row>
    <row r="9" ht="30" customHeight="1">
      <c r="B9" s="33" t="inlineStr">
        <is>
          <t>중복 검사 제외 음식</t>
        </is>
      </c>
      <c r="C9" s="4" t="inlineStr">
        <is>
          <t>매일 나오는 밥·김치 등은 여기에 적으면 표시되지 않습니다</t>
        </is>
      </c>
    </row>
    <row r="10" ht="22" customHeight="1">
      <c r="B10" s="37" t="inlineStr">
        <is>
          <t>쌀밥</t>
        </is>
      </c>
    </row>
    <row r="11" ht="22" customHeight="1">
      <c r="B11" s="37" t="inlineStr">
        <is>
          <t>잡곡밥</t>
        </is>
      </c>
    </row>
    <row r="12" ht="22" customHeight="1">
      <c r="B12" s="37" t="inlineStr">
        <is>
          <t>배추김치</t>
        </is>
      </c>
    </row>
    <row r="13" ht="22" customHeight="1">
      <c r="B13" s="37" t="inlineStr">
        <is>
          <t>깍두기</t>
        </is>
      </c>
    </row>
    <row r="14" ht="22" customHeight="1">
      <c r="B14" s="37"/>
    </row>
    <row r="15" ht="22" customHeight="1">
      <c r="B15" s="37"/>
    </row>
    <row r="16" ht="22" customHeight="1">
      <c r="B16" s="37"/>
    </row>
    <row r="17" ht="22" customHeight="1">
      <c r="B17" s="37"/>
    </row>
    <row r="18" ht="22" customHeight="1">
      <c r="B18" s="37"/>
    </row>
    <row r="19" ht="22" customHeight="1">
      <c r="B19" s="37"/>
    </row>
    <row r="20" ht="22" customHeight="1">
      <c r="B20" s="37"/>
    </row>
    <row r="21" ht="22" customHeight="1">
      <c r="B21" s="37"/>
    </row>
    <row r="22" ht="22" customHeight="1">
      <c r="B22" s="37"/>
    </row>
    <row r="23" ht="22" customHeight="1">
      <c r="B23" s="37"/>
    </row>
    <row r="24" ht="22" customHeight="1">
      <c r="B24" s="37"/>
    </row>
    <row r="25" ht="22" customHeight="1">
      <c r="B25" s="37"/>
    </row>
    <row r="26" ht="22" customHeight="1">
      <c r="B26" s="37"/>
    </row>
    <row r="27" ht="22" customHeight="1">
      <c r="B27" s="37"/>
    </row>
    <row r="28" ht="22" customHeight="1">
      <c r="B28" s="37"/>
    </row>
    <row r="29" ht="22" customHeight="1">
      <c r="B29" s="37"/>
    </row>
    <row r="30" ht="22" customHeight="1">
      <c r="B30" s="37"/>
    </row>
    <row r="31" ht="22" customHeight="1">
      <c r="B31" s="37"/>
    </row>
    <row r="32" ht="22" customHeight="1">
      <c r="B32" s="37"/>
    </row>
    <row r="33" ht="22" customHeight="1">
      <c r="B33" s="37"/>
    </row>
    <row r="34" ht="22" customHeight="1">
      <c r="B34" s="37"/>
    </row>
    <row r="35" ht="22" customHeight="1">
      <c r="B35" s="37"/>
    </row>
    <row r="36" ht="22" customHeight="1">
      <c r="B36" s="37"/>
    </row>
    <row r="37" ht="22" customHeight="1">
      <c r="B37" s="37"/>
    </row>
    <row r="38" ht="22" customHeight="1">
      <c r="B38" s="37"/>
    </row>
    <row r="39" ht="22" customHeight="1">
      <c r="B39" s="37"/>
    </row>
    <row r="40" ht="22" customHeight="1">
      <c r="B40" s="37"/>
    </row>
    <row r="41" ht="22" customHeight="1">
      <c r="B41" s="37"/>
    </row>
    <row r="42" ht="22" customHeight="1">
      <c r="B42" s="37"/>
    </row>
    <row r="43" ht="22" customHeight="1">
      <c r="B43" s="37"/>
    </row>
    <row r="44" ht="22" customHeight="1">
      <c r="B44" s="37"/>
    </row>
    <row r="45" ht="22" customHeight="1">
      <c r="B45" s="37"/>
    </row>
    <row r="46" ht="22" customHeight="1">
      <c r="B46" s="37"/>
    </row>
    <row r="47" ht="22" customHeight="1">
      <c r="B47" s="37"/>
    </row>
    <row r="48" ht="22" customHeight="1">
      <c r="B48" s="37"/>
    </row>
    <row r="49" ht="22" customHeight="1">
      <c r="B49" s="37"/>
    </row>
    <row r="50" ht="22" customHeight="1">
      <c r="B50" s="37"/>
    </row>
    <row r="51" ht="22" customHeight="1">
      <c r="B51" s="37"/>
    </row>
    <row r="52" ht="22" customHeight="1">
      <c r="B52" s="37"/>
    </row>
    <row r="53" ht="22" customHeight="1">
      <c r="B53" s="37"/>
    </row>
    <row r="54" ht="22" customHeight="1">
      <c r="B54" s="37"/>
    </row>
    <row r="55" ht="22" customHeight="1">
      <c r="B55" s="37"/>
    </row>
    <row r="56" ht="22" customHeight="1">
      <c r="B56" s="37"/>
    </row>
    <row r="57" ht="22" customHeight="1">
      <c r="B57" s="37"/>
    </row>
    <row r="58" ht="22" customHeight="1">
      <c r="B58" s="37"/>
    </row>
    <row r="59" ht="22" customHeight="1">
      <c r="B59" s="37"/>
    </row>
  </sheetData>
  <dataValidations count="1">
    <dataValidation type="date" operator="greaterThan" allowBlank="1" showErrorMessage="1" errorTitle="날짜 입력" error="날짜 형식으로 입력하세요 (예: 2026-10-01)" sqref="C3">
      <formula1>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식단표</vt:lpstr>
      <vt:lpstr>식단표!Print_Area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2026-09-19T10:12:47Z</cp:lastPrinted>
  <dcterms:created xsi:type="dcterms:W3CDTF">2026-08-21T01:53:55Z</dcterms:created>
  <dcterms:modified xsi:type="dcterms:W3CDTF">2026-09-20T05:52:55Z</dcterms:modified>
</cp:coreProperties>
</file>